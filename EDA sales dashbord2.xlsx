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13_ncr:1_{0F254322-1C5A-4E77-8CA7-EAC17D646043}" xr6:coauthVersionLast="47" xr6:coauthVersionMax="47" xr10:uidLastSave="{00000000-0000-0000-0000-000000000000}"/>
  <bookViews>
    <workbookView xWindow="-108" yWindow="-108" windowWidth="23256" windowHeight="12456" firstSheet="1" activeTab="1" xr2:uid="{8E76DF14-54E2-4A0A-9FF9-A1E330083D25}"/>
  </bookViews>
  <sheets>
    <sheet name="raw data 2" sheetId="1" r:id="rId1"/>
    <sheet name="EDA questions" sheetId="7" r:id="rId2"/>
    <sheet name="EDA statics" sheetId="8" r:id="rId3"/>
    <sheet name="EDA charts" sheetId="9" r:id="rId4"/>
    <sheet name="pivot product" sheetId="2" r:id="rId5"/>
    <sheet name="pivot region" sheetId="5" r:id="rId6"/>
    <sheet name="pivot sales person" sheetId="6" r:id="rId7"/>
    <sheet name="sales dhashborad 2" sheetId="3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8" l="1"/>
  <c r="B4" i="8"/>
  <c r="B3" i="8"/>
  <c r="B2" i="8"/>
</calcChain>
</file>

<file path=xl/sharedStrings.xml><?xml version="1.0" encoding="utf-8"?>
<sst xmlns="http://schemas.openxmlformats.org/spreadsheetml/2006/main" count="130" uniqueCount="34">
  <si>
    <t>Order_ID</t>
  </si>
  <si>
    <t>Date</t>
  </si>
  <si>
    <t>Region</t>
  </si>
  <si>
    <t>Sales_Person</t>
  </si>
  <si>
    <t>Product</t>
  </si>
  <si>
    <t>Quantity</t>
  </si>
  <si>
    <t>Unit_Price</t>
  </si>
  <si>
    <t>Total_Sales</t>
  </si>
  <si>
    <t>North</t>
  </si>
  <si>
    <t>Amit</t>
  </si>
  <si>
    <t>Laptop</t>
  </si>
  <si>
    <t>South</t>
  </si>
  <si>
    <t>Neha</t>
  </si>
  <si>
    <t>Mobile</t>
  </si>
  <si>
    <t>East</t>
  </si>
  <si>
    <t>Rahul</t>
  </si>
  <si>
    <t>Tablet</t>
  </si>
  <si>
    <t>West</t>
  </si>
  <si>
    <t>Priya</t>
  </si>
  <si>
    <t>Questions</t>
  </si>
  <si>
    <t>Row Labels</t>
  </si>
  <si>
    <t>Grand Total</t>
  </si>
  <si>
    <t>Sum of Total_Sales</t>
  </si>
  <si>
    <t>1. Which region has highest total sales?</t>
  </si>
  <si>
    <t>2. Which product sells the most?</t>
  </si>
  <si>
    <t>3. Which sales person performs best?</t>
  </si>
  <si>
    <t>5. Any unusually high or low sales values?</t>
  </si>
  <si>
    <t>4. is the Daily sales trend increasing ?</t>
  </si>
  <si>
    <t>Metric</t>
  </si>
  <si>
    <t>Total Sales</t>
  </si>
  <si>
    <t>Average Sales</t>
  </si>
  <si>
    <t>value</t>
  </si>
  <si>
    <t>Maximum Sales</t>
  </si>
  <si>
    <t>Minimum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</si>
</sst>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  <font>
      <b/>
      <sz val="11"/>
      <color theme="1"/>
      <name val="Mangal"/>
      <family val="1"/>
      <scheme val="minor"/>
    </font>
    <font>
      <sz val="11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lotArea>
      <c:layout>
        <c:manualLayout>
          <c:layoutTarget val="inner"/>
          <c:xMode val="edge"/>
          <c:yMode val="edge"/>
          <c:x val="0.12688899089632558"/>
          <c:y val="0.13647129851891568"/>
          <c:w val="0.76366083876314583"/>
          <c:h val="0.72690530486308091"/>
        </c:manualLayout>
      </c:layout>
      <c:lineChart>
        <c:grouping val="standard"/>
        <c:varyColors val="0"/>
        <c:ser>
          <c:idx val="0"/>
          <c:order val="0"/>
          <c:tx>
            <c:strRef>
              <c:f>'raw data 2'!$B$1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'raw data 2'!$B$2:$B$31</c:f>
              <c:numCache>
                <c:formatCode>m/d/yyyy</c:formatCode>
                <c:ptCount val="30"/>
                <c:pt idx="0">
                  <c:v>45658</c:v>
                </c:pt>
                <c:pt idx="1">
                  <c:v>45658</c:v>
                </c:pt>
                <c:pt idx="2">
                  <c:v>45659</c:v>
                </c:pt>
                <c:pt idx="3">
                  <c:v>45659</c:v>
                </c:pt>
                <c:pt idx="4">
                  <c:v>45660</c:v>
                </c:pt>
                <c:pt idx="5">
                  <c:v>45660</c:v>
                </c:pt>
                <c:pt idx="6">
                  <c:v>45661</c:v>
                </c:pt>
                <c:pt idx="7">
                  <c:v>45661</c:v>
                </c:pt>
                <c:pt idx="8">
                  <c:v>45662</c:v>
                </c:pt>
                <c:pt idx="9">
                  <c:v>45662</c:v>
                </c:pt>
                <c:pt idx="10">
                  <c:v>45663</c:v>
                </c:pt>
                <c:pt idx="11">
                  <c:v>45663</c:v>
                </c:pt>
                <c:pt idx="12">
                  <c:v>45664</c:v>
                </c:pt>
                <c:pt idx="13">
                  <c:v>45664</c:v>
                </c:pt>
                <c:pt idx="14">
                  <c:v>45665</c:v>
                </c:pt>
                <c:pt idx="15">
                  <c:v>45665</c:v>
                </c:pt>
                <c:pt idx="16">
                  <c:v>45666</c:v>
                </c:pt>
                <c:pt idx="17">
                  <c:v>45666</c:v>
                </c:pt>
                <c:pt idx="18">
                  <c:v>45667</c:v>
                </c:pt>
                <c:pt idx="19">
                  <c:v>45667</c:v>
                </c:pt>
                <c:pt idx="20">
                  <c:v>45668</c:v>
                </c:pt>
                <c:pt idx="21">
                  <c:v>45668</c:v>
                </c:pt>
                <c:pt idx="22">
                  <c:v>45669</c:v>
                </c:pt>
                <c:pt idx="23">
                  <c:v>45669</c:v>
                </c:pt>
                <c:pt idx="24">
                  <c:v>45670</c:v>
                </c:pt>
                <c:pt idx="25">
                  <c:v>45670</c:v>
                </c:pt>
                <c:pt idx="26">
                  <c:v>45671</c:v>
                </c:pt>
                <c:pt idx="27">
                  <c:v>45671</c:v>
                </c:pt>
                <c:pt idx="28">
                  <c:v>45672</c:v>
                </c:pt>
                <c:pt idx="29">
                  <c:v>45672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C-4DA3-8825-1AD2F349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078272"/>
        <c:axId val="2079083552"/>
      </c:lineChart>
      <c:catAx>
        <c:axId val="207907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83552"/>
        <c:crosses val="autoZero"/>
        <c:auto val="1"/>
        <c:lblAlgn val="ctr"/>
        <c:lblOffset val="100"/>
        <c:noMultiLvlLbl val="0"/>
      </c:catAx>
      <c:valAx>
        <c:axId val="207908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7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sales dashbord2.xlsx]pivot product!PivotTable1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Product</a:t>
            </a:r>
            <a:endParaRPr lang="en-US"/>
          </a:p>
        </c:rich>
      </c:tx>
      <c:layout>
        <c:manualLayout>
          <c:xMode val="edge"/>
          <c:yMode val="edge"/>
          <c:x val="0.28147798220568893"/>
          <c:y val="0.101029857811595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product'!$A$4:$A$7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product'!$B$4:$B$7</c:f>
              <c:numCache>
                <c:formatCode>General</c:formatCode>
                <c:ptCount val="3"/>
                <c:pt idx="0">
                  <c:v>892500</c:v>
                </c:pt>
                <c:pt idx="1">
                  <c:v>690000</c:v>
                </c:pt>
                <c:pt idx="2">
                  <c:v>492000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2-4806-A41C-4000448B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096992"/>
        <c:axId val="2079103232"/>
      </c:barChart>
      <c:catAx>
        <c:axId val="207909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103232"/>
        <c:crosses val="autoZero"/>
        <c:auto val="1"/>
        <c:lblAlgn val="ctr"/>
        <c:lblOffset val="100"/>
        <c:noMultiLvlLbl val="0"/>
      </c:catAx>
      <c:valAx>
        <c:axId val="20791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[EDA sales dashbord2.xlsx]pivot region!PivotTable3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Sales by Region</a:t>
            </a:r>
            <a:endParaRPr lang="en-US"/>
          </a:p>
        </c:rich>
      </c:tx>
      <c:layout>
        <c:manualLayout>
          <c:xMode val="edge"/>
          <c:yMode val="edge"/>
          <c:x val="0.35855448238057014"/>
          <c:y val="0.121018969372294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region'!$B$4:$B$8</c:f>
              <c:numCache>
                <c:formatCode>General</c:formatCode>
                <c:ptCount val="4"/>
                <c:pt idx="0">
                  <c:v>496000</c:v>
                </c:pt>
                <c:pt idx="1">
                  <c:v>532000</c:v>
                </c:pt>
                <c:pt idx="2">
                  <c:v>473500</c:v>
                </c:pt>
                <c:pt idx="3">
                  <c:v>573000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8-44FB-859B-57F20A0E6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6699328"/>
        <c:axId val="1741715168"/>
      </c:barChart>
      <c:catAx>
        <c:axId val="182669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5168"/>
        <c:crosses val="autoZero"/>
        <c:auto val="1"/>
        <c:lblAlgn val="ctr"/>
        <c:lblOffset val="100"/>
        <c:noMultiLvlLbl val="0"/>
      </c:catAx>
      <c:valAx>
        <c:axId val="174171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82669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sales dashbord2.xlsx]pivot sales person!PivotTable4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</a:t>
            </a:r>
            <a:r>
              <a:rPr lang="en-IN" sz="1400" b="0" i="0" u="none" strike="noStrike" baseline="0"/>
              <a:t>Sales Performance by Sales Person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sales 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sales person'!$A$4:$A$8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</c:strCache>
            </c:strRef>
          </c:cat>
          <c:val>
            <c:numRef>
              <c:f>'pivot sales person'!$B$4:$B$8</c:f>
              <c:numCache>
                <c:formatCode>General</c:formatCode>
                <c:ptCount val="4"/>
                <c:pt idx="0">
                  <c:v>532000</c:v>
                </c:pt>
                <c:pt idx="1">
                  <c:v>473500</c:v>
                </c:pt>
                <c:pt idx="2">
                  <c:v>573000</c:v>
                </c:pt>
                <c:pt idx="3">
                  <c:v>496000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7-4B42-8C42-AAD7AEE36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716128"/>
        <c:axId val="1741730048"/>
      </c:barChart>
      <c:catAx>
        <c:axId val="17417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30048"/>
        <c:crosses val="autoZero"/>
        <c:auto val="1"/>
        <c:lblAlgn val="ctr"/>
        <c:lblOffset val="100"/>
        <c:noMultiLvlLbl val="0"/>
      </c:catAx>
      <c:valAx>
        <c:axId val="17417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44824</xdr:colOff>
      <xdr:row>3</xdr:row>
      <xdr:rowOff>29883</xdr:rowOff>
    </xdr:from>
    <xdr:to>
      <xdr:col>21</xdr:col>
      <xdr:colOff>418354</xdr:colOff>
      <xdr:row>26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49A4B-B80A-4913-B3FA-CDD30E0DA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261963</xdr:colOff>
      <xdr:row>0</xdr:row>
      <xdr:rowOff>264229</xdr:rowOff>
    </xdr:from>
    <xdr:to>
      <xdr:col>5</xdr:col>
      <xdr:colOff>291701</xdr:colOff>
      <xdr:row>10</xdr:row>
      <xdr:rowOff>78376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5F3B94-CD23-4C18-BAEF-DCCA2D69C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586740</xdr:colOff>
      <xdr:row>0</xdr:row>
      <xdr:rowOff>266700</xdr:rowOff>
    </xdr:from>
    <xdr:to>
      <xdr:col>12</xdr:col>
      <xdr:colOff>609600</xdr:colOff>
      <xdr:row>9</xdr:row>
      <xdr:rowOff>247650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00BEEA-A2A8-4C08-AF8F-091994A0C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349250</xdr:colOff>
      <xdr:row>0</xdr:row>
      <xdr:rowOff>201084</xdr:rowOff>
    </xdr:from>
    <xdr:to>
      <xdr:col>20</xdr:col>
      <xdr:colOff>254000</xdr:colOff>
      <xdr:row>9</xdr:row>
      <xdr:rowOff>151554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261EE5-99A4-4E98-B88A-B055AE769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DEVTARASE" refreshedDate="46022.599553009262" createdVersion="8" refreshedVersion="8" minRefreshableVersion="3" recordCount="30" xr:uid="{5101203D-B8D4-42E6-9331-2698AAA5071C}">
  <cacheSource type="worksheet">
    <worksheetSource ref="A1:H31" sheet="raw data 2"/>
  </cacheSource>
  <cacheFields count="8">
    <cacheField name="Order_ID" numFmtId="0">
      <sharedItems containsSemiMixedTypes="0" containsString="0" containsNumber="1" containsInteger="1" minValue="1001" maxValue="1030"/>
    </cacheField>
    <cacheField name="Date" numFmtId="14">
      <sharedItems containsSemiMixedTypes="0" containsNonDate="0" containsDate="1" containsString="0" minDate="2025-01-01T00:00:00" maxDate="2025-01-16T00:00:00"/>
    </cacheField>
    <cacheField name="Region" numFmtId="0">
      <sharedItems count="7">
        <s v="North"/>
        <s v="South"/>
        <s v="East"/>
        <s v="West"/>
        <s v="Formula1" f="1"/>
        <s v="Formula2" f="1"/>
        <s v="Formula3" f="1"/>
      </sharedItems>
    </cacheField>
    <cacheField name="Sales_Person" numFmtId="0">
      <sharedItems count="4">
        <s v="Amit"/>
        <s v="Neha"/>
        <s v="Rahul"/>
        <s v="Priya"/>
      </sharedItems>
    </cacheField>
    <cacheField name="Product" numFmtId="0">
      <sharedItems count="5">
        <s v="Laptop"/>
        <s v="Mobile"/>
        <s v="Tablet"/>
        <s v="Formula1" f="1"/>
        <s v="Formula2" f="1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containsInteger="1" minValue="14000" maxValue="49000"/>
    </cacheField>
    <cacheField name="Total_Sales" numFmtId="0">
      <sharedItems containsSemiMixedTypes="0" containsString="0" containsNumber="1" containsInteger="1" minValue="21500" maxValue="141000"/>
    </cacheField>
  </cacheFields>
  <calculatedItems count="5">
    <calculatedItem>
      <pivotArea cacheIndex="1" outline="0" fieldPosition="0">
        <references count="1">
          <reference field="4" count="1">
            <x v="3"/>
          </reference>
        </references>
      </pivotArea>
    </calculatedItem>
    <calculatedItem>
      <pivotArea cacheIndex="1" outline="0" fieldPosition="0">
        <references count="1">
          <reference field="4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5"/>
          </reference>
        </references>
      </pivotArea>
    </calculatedItem>
    <calculatedItem>
      <pivotArea cacheIndex="1" outline="0" fieldPosition="0">
        <references count="1">
          <reference field="2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d v="2025-01-01T00:00:00"/>
    <x v="0"/>
    <x v="0"/>
    <x v="0"/>
    <n v="2"/>
    <n v="45000"/>
    <n v="90000"/>
  </r>
  <r>
    <n v="1002"/>
    <d v="2025-01-01T00:00:00"/>
    <x v="1"/>
    <x v="1"/>
    <x v="1"/>
    <n v="5"/>
    <n v="15000"/>
    <n v="75000"/>
  </r>
  <r>
    <n v="1003"/>
    <d v="2025-01-02T00:00:00"/>
    <x v="2"/>
    <x v="2"/>
    <x v="2"/>
    <n v="3"/>
    <n v="20000"/>
    <n v="60000"/>
  </r>
  <r>
    <n v="1004"/>
    <d v="2025-01-02T00:00:00"/>
    <x v="3"/>
    <x v="3"/>
    <x v="0"/>
    <n v="1"/>
    <n v="48000"/>
    <n v="48000"/>
  </r>
  <r>
    <n v="1005"/>
    <d v="2025-01-03T00:00:00"/>
    <x v="0"/>
    <x v="0"/>
    <x v="1"/>
    <n v="4"/>
    <n v="14000"/>
    <n v="56000"/>
  </r>
  <r>
    <n v="1006"/>
    <d v="2025-01-03T00:00:00"/>
    <x v="1"/>
    <x v="1"/>
    <x v="2"/>
    <n v="2"/>
    <n v="21000"/>
    <n v="42000"/>
  </r>
  <r>
    <n v="1007"/>
    <d v="2025-01-04T00:00:00"/>
    <x v="2"/>
    <x v="2"/>
    <x v="0"/>
    <n v="3"/>
    <n v="46000"/>
    <n v="138000"/>
  </r>
  <r>
    <n v="1008"/>
    <d v="2025-01-04T00:00:00"/>
    <x v="3"/>
    <x v="3"/>
    <x v="1"/>
    <n v="6"/>
    <n v="14500"/>
    <n v="87000"/>
  </r>
  <r>
    <n v="1009"/>
    <d v="2025-01-05T00:00:00"/>
    <x v="0"/>
    <x v="0"/>
    <x v="2"/>
    <n v="1"/>
    <n v="22000"/>
    <n v="22000"/>
  </r>
  <r>
    <n v="1010"/>
    <d v="2025-01-05T00:00:00"/>
    <x v="1"/>
    <x v="1"/>
    <x v="0"/>
    <n v="2"/>
    <n v="47000"/>
    <n v="94000"/>
  </r>
  <r>
    <n v="1011"/>
    <d v="2025-01-06T00:00:00"/>
    <x v="2"/>
    <x v="2"/>
    <x v="1"/>
    <n v="5"/>
    <n v="15000"/>
    <n v="75000"/>
  </r>
  <r>
    <n v="1012"/>
    <d v="2025-01-06T00:00:00"/>
    <x v="3"/>
    <x v="3"/>
    <x v="2"/>
    <n v="2"/>
    <n v="20500"/>
    <n v="41000"/>
  </r>
  <r>
    <n v="1013"/>
    <d v="2025-01-07T00:00:00"/>
    <x v="0"/>
    <x v="0"/>
    <x v="0"/>
    <n v="1"/>
    <n v="49000"/>
    <n v="49000"/>
  </r>
  <r>
    <n v="1014"/>
    <d v="2025-01-07T00:00:00"/>
    <x v="1"/>
    <x v="1"/>
    <x v="1"/>
    <n v="3"/>
    <n v="15500"/>
    <n v="46500"/>
  </r>
  <r>
    <n v="1015"/>
    <d v="2025-01-08T00:00:00"/>
    <x v="2"/>
    <x v="2"/>
    <x v="2"/>
    <n v="4"/>
    <n v="20000"/>
    <n v="80000"/>
  </r>
  <r>
    <n v="1016"/>
    <d v="2025-01-08T00:00:00"/>
    <x v="3"/>
    <x v="3"/>
    <x v="0"/>
    <n v="2"/>
    <n v="48000"/>
    <n v="96000"/>
  </r>
  <r>
    <n v="1017"/>
    <d v="2025-01-09T00:00:00"/>
    <x v="0"/>
    <x v="0"/>
    <x v="1"/>
    <n v="6"/>
    <n v="14000"/>
    <n v="84000"/>
  </r>
  <r>
    <n v="1018"/>
    <d v="2025-01-09T00:00:00"/>
    <x v="1"/>
    <x v="1"/>
    <x v="2"/>
    <n v="1"/>
    <n v="21500"/>
    <n v="21500"/>
  </r>
  <r>
    <n v="1019"/>
    <d v="2025-01-10T00:00:00"/>
    <x v="2"/>
    <x v="2"/>
    <x v="0"/>
    <n v="2"/>
    <n v="46000"/>
    <n v="92000"/>
  </r>
  <r>
    <n v="1020"/>
    <d v="2025-01-10T00:00:00"/>
    <x v="3"/>
    <x v="3"/>
    <x v="1"/>
    <n v="4"/>
    <n v="15000"/>
    <n v="60000"/>
  </r>
  <r>
    <n v="1021"/>
    <d v="2025-01-11T00:00:00"/>
    <x v="0"/>
    <x v="0"/>
    <x v="2"/>
    <n v="3"/>
    <n v="20500"/>
    <n v="61500"/>
  </r>
  <r>
    <n v="1022"/>
    <d v="2025-01-11T00:00:00"/>
    <x v="1"/>
    <x v="1"/>
    <x v="0"/>
    <n v="1"/>
    <n v="47500"/>
    <n v="47500"/>
  </r>
  <r>
    <n v="1023"/>
    <d v="2025-01-12T00:00:00"/>
    <x v="2"/>
    <x v="2"/>
    <x v="1"/>
    <n v="2"/>
    <n v="14500"/>
    <n v="29000"/>
  </r>
  <r>
    <n v="1024"/>
    <d v="2025-01-12T00:00:00"/>
    <x v="3"/>
    <x v="3"/>
    <x v="2"/>
    <n v="5"/>
    <n v="20000"/>
    <n v="100000"/>
  </r>
  <r>
    <n v="1025"/>
    <d v="2025-01-13T00:00:00"/>
    <x v="0"/>
    <x v="0"/>
    <x v="0"/>
    <n v="2"/>
    <n v="48500"/>
    <n v="97000"/>
  </r>
  <r>
    <n v="1026"/>
    <d v="2025-01-13T00:00:00"/>
    <x v="1"/>
    <x v="1"/>
    <x v="1"/>
    <n v="7"/>
    <n v="15000"/>
    <n v="105000"/>
  </r>
  <r>
    <n v="1027"/>
    <d v="2025-01-14T00:00:00"/>
    <x v="2"/>
    <x v="2"/>
    <x v="2"/>
    <n v="1"/>
    <n v="22000"/>
    <n v="22000"/>
  </r>
  <r>
    <n v="1028"/>
    <d v="2025-01-14T00:00:00"/>
    <x v="3"/>
    <x v="3"/>
    <x v="0"/>
    <n v="3"/>
    <n v="47000"/>
    <n v="141000"/>
  </r>
  <r>
    <n v="1029"/>
    <d v="2025-01-15T00:00:00"/>
    <x v="0"/>
    <x v="0"/>
    <x v="1"/>
    <n v="5"/>
    <n v="14500"/>
    <n v="72500"/>
  </r>
  <r>
    <n v="1030"/>
    <d v="2025-01-15T00:00:00"/>
    <x v="1"/>
    <x v="1"/>
    <x v="2"/>
    <n v="2"/>
    <n v="21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BFE2B-BAB6-4B5F-8AAC-210CC3AB04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7" firstHeaderRow="1" firstDataRow="1" firstDataCol="1"/>
  <pivotFields count="8">
    <pivotField showAll="0"/>
    <pivotField numFmtId="14" showAll="0"/>
    <pivotField showAll="0">
      <items count="8">
        <item x="1"/>
        <item x="2"/>
        <item h="1" f="1" x="4"/>
        <item h="1" f="1" x="5"/>
        <item h="1" f="1" x="6"/>
        <item x="0"/>
        <item x="3"/>
        <item t="default"/>
      </items>
    </pivotField>
    <pivotField showAll="0"/>
    <pivotField axis="axisRow" showAll="0">
      <items count="6">
        <item x="0"/>
        <item h="1" f="1" x="3"/>
        <item h="1" f="1" x="4"/>
        <item x="1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7B984-9F73-4F4C-8419-2A2641A66C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8">
    <pivotField showAll="0"/>
    <pivotField numFmtId="14" showAll="0"/>
    <pivotField axis="axisRow" showAll="0">
      <items count="8">
        <item x="2"/>
        <item h="1" f="1" x="4"/>
        <item h="1" f="1" x="5"/>
        <item h="1" f="1" x="6"/>
        <item x="0"/>
        <item x="1"/>
        <item x="3"/>
        <item t="default"/>
      </items>
    </pivotField>
    <pivotField showAll="0"/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4"/>
    </i>
    <i>
      <x v="5"/>
    </i>
    <i>
      <x v="6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22BF1-F18E-4D6F-BA4C-014D2B2028C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8">
    <pivotField showAll="0"/>
    <pivotField numFmtId="14" showAll="0"/>
    <pivotField showAll="0">
      <items count="8">
        <item x="2"/>
        <item f="1" x="4"/>
        <item f="1" x="5"/>
        <item f="1" x="6"/>
        <item x="0"/>
        <item x="1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3E4-C5C2-4FAA-ADBE-B27E28940132}">
  <dimension ref="A1:K36"/>
  <sheetViews>
    <sheetView zoomScale="60" zoomScaleNormal="71" workbookViewId="0">
      <selection activeCell="O42" sqref="O42"/>
    </sheetView>
  </sheetViews>
  <sheetFormatPr defaultRowHeight="24" x14ac:dyDescent="0.8"/>
  <cols>
    <col min="1" max="1" width="14.19921875" customWidth="1"/>
    <col min="2" max="2" width="14.296875" customWidth="1"/>
    <col min="3" max="3" width="12.8984375" customWidth="1"/>
    <col min="4" max="4" width="18.796875" customWidth="1"/>
    <col min="5" max="5" width="14.59765625" customWidth="1"/>
    <col min="6" max="6" width="11.3984375" customWidth="1"/>
    <col min="7" max="7" width="14.796875" customWidth="1"/>
    <col min="8" max="8" width="15.796875" customWidth="1"/>
    <col min="9" max="9" width="10.3984375" customWidth="1"/>
    <col min="10" max="11" width="9.796875" customWidth="1"/>
  </cols>
  <sheetData>
    <row r="1" spans="1:11" ht="25.8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K1" s="1"/>
    </row>
    <row r="2" spans="1:11" x14ac:dyDescent="0.8">
      <c r="A2" s="3">
        <v>1001</v>
      </c>
      <c r="B2" s="4">
        <v>45658</v>
      </c>
      <c r="C2" s="3" t="s">
        <v>8</v>
      </c>
      <c r="D2" s="3" t="s">
        <v>9</v>
      </c>
      <c r="E2" s="3" t="s">
        <v>10</v>
      </c>
      <c r="F2" s="3">
        <v>2</v>
      </c>
      <c r="G2" s="3">
        <v>45000</v>
      </c>
      <c r="H2" s="3">
        <v>90000</v>
      </c>
      <c r="I2" s="2"/>
      <c r="K2" s="5"/>
    </row>
    <row r="3" spans="1:11" ht="25.8" x14ac:dyDescent="0.85">
      <c r="A3" s="3">
        <v>1002</v>
      </c>
      <c r="B3" s="4">
        <v>45658</v>
      </c>
      <c r="C3" s="3" t="s">
        <v>11</v>
      </c>
      <c r="D3" s="3" t="s">
        <v>12</v>
      </c>
      <c r="E3" s="3" t="s">
        <v>13</v>
      </c>
      <c r="F3" s="3">
        <v>5</v>
      </c>
      <c r="G3" s="3">
        <v>15000</v>
      </c>
      <c r="H3" s="3">
        <v>75000</v>
      </c>
      <c r="I3" s="2"/>
      <c r="K3" s="9"/>
    </row>
    <row r="4" spans="1:11" ht="25.8" x14ac:dyDescent="0.85">
      <c r="A4" s="3">
        <v>1003</v>
      </c>
      <c r="B4" s="4">
        <v>45659</v>
      </c>
      <c r="C4" s="3" t="s">
        <v>14</v>
      </c>
      <c r="D4" s="3" t="s">
        <v>15</v>
      </c>
      <c r="E4" s="3" t="s">
        <v>16</v>
      </c>
      <c r="F4" s="3">
        <v>3</v>
      </c>
      <c r="G4" s="3">
        <v>20000</v>
      </c>
      <c r="H4" s="3">
        <v>60000</v>
      </c>
      <c r="I4" s="2"/>
      <c r="J4" s="2"/>
      <c r="K4" s="9"/>
    </row>
    <row r="5" spans="1:11" ht="25.8" x14ac:dyDescent="0.85">
      <c r="A5" s="3">
        <v>1004</v>
      </c>
      <c r="B5" s="4">
        <v>45659</v>
      </c>
      <c r="C5" s="3" t="s">
        <v>17</v>
      </c>
      <c r="D5" s="3" t="s">
        <v>18</v>
      </c>
      <c r="E5" s="3" t="s">
        <v>10</v>
      </c>
      <c r="F5" s="3">
        <v>1</v>
      </c>
      <c r="G5" s="3">
        <v>48000</v>
      </c>
      <c r="H5" s="3">
        <v>48000</v>
      </c>
      <c r="I5" s="2"/>
      <c r="K5" s="9"/>
    </row>
    <row r="6" spans="1:11" ht="25.8" x14ac:dyDescent="0.85">
      <c r="A6" s="3">
        <v>1005</v>
      </c>
      <c r="B6" s="4">
        <v>45660</v>
      </c>
      <c r="C6" s="3" t="s">
        <v>8</v>
      </c>
      <c r="D6" s="3" t="s">
        <v>9</v>
      </c>
      <c r="E6" s="3" t="s">
        <v>13</v>
      </c>
      <c r="F6" s="3">
        <v>4</v>
      </c>
      <c r="G6" s="3">
        <v>14000</v>
      </c>
      <c r="H6" s="3">
        <v>56000</v>
      </c>
      <c r="I6" s="2"/>
      <c r="K6" s="9"/>
    </row>
    <row r="7" spans="1:11" ht="25.8" x14ac:dyDescent="0.85">
      <c r="A7" s="3">
        <v>1006</v>
      </c>
      <c r="B7" s="4">
        <v>45660</v>
      </c>
      <c r="C7" s="3" t="s">
        <v>11</v>
      </c>
      <c r="D7" s="3" t="s">
        <v>12</v>
      </c>
      <c r="E7" s="3" t="s">
        <v>16</v>
      </c>
      <c r="F7" s="3">
        <v>2</v>
      </c>
      <c r="G7" s="3">
        <v>21000</v>
      </c>
      <c r="H7" s="3">
        <v>42000</v>
      </c>
      <c r="I7" s="2"/>
      <c r="K7" s="9"/>
    </row>
    <row r="8" spans="1:11" ht="25.8" x14ac:dyDescent="0.85">
      <c r="A8" s="3">
        <v>1007</v>
      </c>
      <c r="B8" s="4">
        <v>45661</v>
      </c>
      <c r="C8" s="3" t="s">
        <v>14</v>
      </c>
      <c r="D8" s="3" t="s">
        <v>15</v>
      </c>
      <c r="E8" s="3" t="s">
        <v>10</v>
      </c>
      <c r="F8" s="3">
        <v>3</v>
      </c>
      <c r="G8" s="3">
        <v>46000</v>
      </c>
      <c r="H8" s="3">
        <v>138000</v>
      </c>
      <c r="I8" s="2"/>
      <c r="K8" s="9"/>
    </row>
    <row r="9" spans="1:11" ht="25.8" x14ac:dyDescent="0.85">
      <c r="A9" s="3">
        <v>1008</v>
      </c>
      <c r="B9" s="4">
        <v>45661</v>
      </c>
      <c r="C9" s="3" t="s">
        <v>17</v>
      </c>
      <c r="D9" s="3" t="s">
        <v>18</v>
      </c>
      <c r="E9" s="3" t="s">
        <v>13</v>
      </c>
      <c r="F9" s="3">
        <v>6</v>
      </c>
      <c r="G9" s="3">
        <v>14500</v>
      </c>
      <c r="H9" s="3">
        <v>87000</v>
      </c>
      <c r="I9" s="2"/>
      <c r="K9" s="9"/>
    </row>
    <row r="10" spans="1:11" ht="25.8" x14ac:dyDescent="0.85">
      <c r="A10" s="3">
        <v>1009</v>
      </c>
      <c r="B10" s="4">
        <v>45662</v>
      </c>
      <c r="C10" s="3" t="s">
        <v>8</v>
      </c>
      <c r="D10" s="3" t="s">
        <v>9</v>
      </c>
      <c r="E10" s="3" t="s">
        <v>16</v>
      </c>
      <c r="F10" s="3">
        <v>1</v>
      </c>
      <c r="G10" s="3">
        <v>22000</v>
      </c>
      <c r="H10" s="3">
        <v>22000</v>
      </c>
      <c r="I10" s="2"/>
      <c r="K10" s="9"/>
    </row>
    <row r="11" spans="1:11" ht="25.8" x14ac:dyDescent="0.85">
      <c r="A11" s="3">
        <v>1010</v>
      </c>
      <c r="B11" s="4">
        <v>45662</v>
      </c>
      <c r="C11" s="3" t="s">
        <v>11</v>
      </c>
      <c r="D11" s="3" t="s">
        <v>12</v>
      </c>
      <c r="E11" s="3" t="s">
        <v>10</v>
      </c>
      <c r="F11" s="3">
        <v>2</v>
      </c>
      <c r="G11" s="3">
        <v>47000</v>
      </c>
      <c r="H11" s="3">
        <v>94000</v>
      </c>
      <c r="I11" s="2"/>
      <c r="K11" s="9"/>
    </row>
    <row r="12" spans="1:11" x14ac:dyDescent="0.8">
      <c r="A12" s="3">
        <v>1011</v>
      </c>
      <c r="B12" s="4">
        <v>45663</v>
      </c>
      <c r="C12" s="3" t="s">
        <v>14</v>
      </c>
      <c r="D12" s="3" t="s">
        <v>15</v>
      </c>
      <c r="E12" s="3" t="s">
        <v>13</v>
      </c>
      <c r="F12" s="3">
        <v>5</v>
      </c>
      <c r="G12" s="3">
        <v>15000</v>
      </c>
      <c r="H12" s="3">
        <v>75000</v>
      </c>
      <c r="I12" s="2"/>
      <c r="K12" s="7"/>
    </row>
    <row r="13" spans="1:11" x14ac:dyDescent="0.8">
      <c r="A13" s="3">
        <v>1012</v>
      </c>
      <c r="B13" s="4">
        <v>45663</v>
      </c>
      <c r="C13" s="3" t="s">
        <v>17</v>
      </c>
      <c r="D13" s="3" t="s">
        <v>18</v>
      </c>
      <c r="E13" s="3" t="s">
        <v>16</v>
      </c>
      <c r="F13" s="3">
        <v>2</v>
      </c>
      <c r="G13" s="3">
        <v>20500</v>
      </c>
      <c r="H13" s="3">
        <v>41000</v>
      </c>
      <c r="I13" s="2"/>
      <c r="K13" s="7"/>
    </row>
    <row r="14" spans="1:11" x14ac:dyDescent="0.8">
      <c r="A14" s="3">
        <v>1013</v>
      </c>
      <c r="B14" s="4">
        <v>45664</v>
      </c>
      <c r="C14" s="3" t="s">
        <v>8</v>
      </c>
      <c r="D14" s="3" t="s">
        <v>9</v>
      </c>
      <c r="E14" s="3" t="s">
        <v>10</v>
      </c>
      <c r="F14" s="3">
        <v>1</v>
      </c>
      <c r="G14" s="3">
        <v>49000</v>
      </c>
      <c r="H14" s="3">
        <v>49000</v>
      </c>
      <c r="I14" s="2"/>
      <c r="K14" s="7"/>
    </row>
    <row r="15" spans="1:11" x14ac:dyDescent="0.8">
      <c r="A15" s="3">
        <v>1014</v>
      </c>
      <c r="B15" s="4">
        <v>45664</v>
      </c>
      <c r="C15" s="3" t="s">
        <v>11</v>
      </c>
      <c r="D15" s="3" t="s">
        <v>12</v>
      </c>
      <c r="E15" s="3" t="s">
        <v>13</v>
      </c>
      <c r="F15" s="3">
        <v>3</v>
      </c>
      <c r="G15" s="3">
        <v>15500</v>
      </c>
      <c r="H15" s="3">
        <v>46500</v>
      </c>
      <c r="I15" s="2"/>
      <c r="K15" s="7"/>
    </row>
    <row r="16" spans="1:11" x14ac:dyDescent="0.8">
      <c r="A16" s="3">
        <v>1015</v>
      </c>
      <c r="B16" s="4">
        <v>45665</v>
      </c>
      <c r="C16" s="3" t="s">
        <v>14</v>
      </c>
      <c r="D16" s="3" t="s">
        <v>15</v>
      </c>
      <c r="E16" s="3" t="s">
        <v>16</v>
      </c>
      <c r="F16" s="3">
        <v>4</v>
      </c>
      <c r="G16" s="3">
        <v>20000</v>
      </c>
      <c r="H16" s="3">
        <v>80000</v>
      </c>
      <c r="I16" s="2"/>
      <c r="K16" s="7"/>
    </row>
    <row r="17" spans="1:9" x14ac:dyDescent="0.8">
      <c r="A17" s="3">
        <v>1016</v>
      </c>
      <c r="B17" s="4">
        <v>45665</v>
      </c>
      <c r="C17" s="3" t="s">
        <v>17</v>
      </c>
      <c r="D17" s="3" t="s">
        <v>18</v>
      </c>
      <c r="E17" s="3" t="s">
        <v>10</v>
      </c>
      <c r="F17" s="3">
        <v>2</v>
      </c>
      <c r="G17" s="3">
        <v>48000</v>
      </c>
      <c r="H17" s="3">
        <v>96000</v>
      </c>
      <c r="I17" s="2"/>
    </row>
    <row r="18" spans="1:9" x14ac:dyDescent="0.8">
      <c r="A18" s="3">
        <v>1017</v>
      </c>
      <c r="B18" s="4">
        <v>45666</v>
      </c>
      <c r="C18" s="3" t="s">
        <v>8</v>
      </c>
      <c r="D18" s="3" t="s">
        <v>9</v>
      </c>
      <c r="E18" s="3" t="s">
        <v>13</v>
      </c>
      <c r="F18" s="3">
        <v>6</v>
      </c>
      <c r="G18" s="3">
        <v>14000</v>
      </c>
      <c r="H18" s="3">
        <v>84000</v>
      </c>
      <c r="I18" s="2"/>
    </row>
    <row r="19" spans="1:9" x14ac:dyDescent="0.8">
      <c r="A19" s="3">
        <v>1018</v>
      </c>
      <c r="B19" s="4">
        <v>45666</v>
      </c>
      <c r="C19" s="3" t="s">
        <v>11</v>
      </c>
      <c r="D19" s="3" t="s">
        <v>12</v>
      </c>
      <c r="E19" s="3" t="s">
        <v>16</v>
      </c>
      <c r="F19" s="3">
        <v>1</v>
      </c>
      <c r="G19" s="3">
        <v>21500</v>
      </c>
      <c r="H19" s="3">
        <v>21500</v>
      </c>
      <c r="I19" s="2"/>
    </row>
    <row r="20" spans="1:9" x14ac:dyDescent="0.8">
      <c r="A20" s="3">
        <v>1019</v>
      </c>
      <c r="B20" s="4">
        <v>45667</v>
      </c>
      <c r="C20" s="3" t="s">
        <v>14</v>
      </c>
      <c r="D20" s="3" t="s">
        <v>15</v>
      </c>
      <c r="E20" s="3" t="s">
        <v>10</v>
      </c>
      <c r="F20" s="3">
        <v>2</v>
      </c>
      <c r="G20" s="3">
        <v>46000</v>
      </c>
      <c r="H20" s="3">
        <v>92000</v>
      </c>
      <c r="I20" s="2"/>
    </row>
    <row r="21" spans="1:9" x14ac:dyDescent="0.8">
      <c r="A21" s="3">
        <v>1020</v>
      </c>
      <c r="B21" s="4">
        <v>45667</v>
      </c>
      <c r="C21" s="3" t="s">
        <v>17</v>
      </c>
      <c r="D21" s="3" t="s">
        <v>18</v>
      </c>
      <c r="E21" s="3" t="s">
        <v>13</v>
      </c>
      <c r="F21" s="3">
        <v>4</v>
      </c>
      <c r="G21" s="3">
        <v>15000</v>
      </c>
      <c r="H21" s="3">
        <v>60000</v>
      </c>
      <c r="I21" s="2"/>
    </row>
    <row r="22" spans="1:9" x14ac:dyDescent="0.8">
      <c r="A22" s="3">
        <v>1021</v>
      </c>
      <c r="B22" s="4">
        <v>45668</v>
      </c>
      <c r="C22" s="3" t="s">
        <v>8</v>
      </c>
      <c r="D22" s="3" t="s">
        <v>9</v>
      </c>
      <c r="E22" s="3" t="s">
        <v>16</v>
      </c>
      <c r="F22" s="3">
        <v>3</v>
      </c>
      <c r="G22" s="3">
        <v>20500</v>
      </c>
      <c r="H22" s="3">
        <v>61500</v>
      </c>
      <c r="I22" s="2"/>
    </row>
    <row r="23" spans="1:9" x14ac:dyDescent="0.8">
      <c r="A23" s="3">
        <v>1022</v>
      </c>
      <c r="B23" s="4">
        <v>45668</v>
      </c>
      <c r="C23" s="3" t="s">
        <v>11</v>
      </c>
      <c r="D23" s="3" t="s">
        <v>12</v>
      </c>
      <c r="E23" s="3" t="s">
        <v>10</v>
      </c>
      <c r="F23" s="3">
        <v>1</v>
      </c>
      <c r="G23" s="3">
        <v>47500</v>
      </c>
      <c r="H23" s="3">
        <v>47500</v>
      </c>
      <c r="I23" s="2"/>
    </row>
    <row r="24" spans="1:9" x14ac:dyDescent="0.8">
      <c r="A24" s="3">
        <v>1023</v>
      </c>
      <c r="B24" s="4">
        <v>45669</v>
      </c>
      <c r="C24" s="3" t="s">
        <v>14</v>
      </c>
      <c r="D24" s="3" t="s">
        <v>15</v>
      </c>
      <c r="E24" s="3" t="s">
        <v>13</v>
      </c>
      <c r="F24" s="3">
        <v>2</v>
      </c>
      <c r="G24" s="3">
        <v>14500</v>
      </c>
      <c r="H24" s="3">
        <v>29000</v>
      </c>
      <c r="I24" s="2"/>
    </row>
    <row r="25" spans="1:9" x14ac:dyDescent="0.8">
      <c r="A25" s="3">
        <v>1024</v>
      </c>
      <c r="B25" s="4">
        <v>45669</v>
      </c>
      <c r="C25" s="3" t="s">
        <v>17</v>
      </c>
      <c r="D25" s="3" t="s">
        <v>18</v>
      </c>
      <c r="E25" s="3" t="s">
        <v>16</v>
      </c>
      <c r="F25" s="3">
        <v>5</v>
      </c>
      <c r="G25" s="3">
        <v>20000</v>
      </c>
      <c r="H25" s="3">
        <v>100000</v>
      </c>
      <c r="I25" s="2"/>
    </row>
    <row r="26" spans="1:9" x14ac:dyDescent="0.8">
      <c r="A26" s="3">
        <v>1025</v>
      </c>
      <c r="B26" s="4">
        <v>45670</v>
      </c>
      <c r="C26" s="3" t="s">
        <v>8</v>
      </c>
      <c r="D26" s="3" t="s">
        <v>9</v>
      </c>
      <c r="E26" s="3" t="s">
        <v>10</v>
      </c>
      <c r="F26" s="3">
        <v>2</v>
      </c>
      <c r="G26" s="3">
        <v>48500</v>
      </c>
      <c r="H26" s="3">
        <v>97000</v>
      </c>
      <c r="I26" s="2"/>
    </row>
    <row r="27" spans="1:9" x14ac:dyDescent="0.8">
      <c r="A27" s="3">
        <v>1026</v>
      </c>
      <c r="B27" s="4">
        <v>45670</v>
      </c>
      <c r="C27" s="3" t="s">
        <v>11</v>
      </c>
      <c r="D27" s="3" t="s">
        <v>12</v>
      </c>
      <c r="E27" s="3" t="s">
        <v>13</v>
      </c>
      <c r="F27" s="3">
        <v>7</v>
      </c>
      <c r="G27" s="3">
        <v>15000</v>
      </c>
      <c r="H27" s="3">
        <v>105000</v>
      </c>
      <c r="I27" s="2"/>
    </row>
    <row r="28" spans="1:9" x14ac:dyDescent="0.8">
      <c r="A28" s="3">
        <v>1027</v>
      </c>
      <c r="B28" s="4">
        <v>45671</v>
      </c>
      <c r="C28" s="3" t="s">
        <v>14</v>
      </c>
      <c r="D28" s="3" t="s">
        <v>15</v>
      </c>
      <c r="E28" s="3" t="s">
        <v>16</v>
      </c>
      <c r="F28" s="3">
        <v>1</v>
      </c>
      <c r="G28" s="3">
        <v>22000</v>
      </c>
      <c r="H28" s="3">
        <v>22000</v>
      </c>
      <c r="I28" s="2"/>
    </row>
    <row r="29" spans="1:9" x14ac:dyDescent="0.8">
      <c r="A29" s="3">
        <v>1028</v>
      </c>
      <c r="B29" s="4">
        <v>45671</v>
      </c>
      <c r="C29" s="3" t="s">
        <v>17</v>
      </c>
      <c r="D29" s="3" t="s">
        <v>18</v>
      </c>
      <c r="E29" s="3" t="s">
        <v>10</v>
      </c>
      <c r="F29" s="3">
        <v>3</v>
      </c>
      <c r="G29" s="3">
        <v>47000</v>
      </c>
      <c r="H29" s="3">
        <v>141000</v>
      </c>
      <c r="I29" s="2"/>
    </row>
    <row r="30" spans="1:9" x14ac:dyDescent="0.8">
      <c r="A30" s="3">
        <v>1029</v>
      </c>
      <c r="B30" s="4">
        <v>45672</v>
      </c>
      <c r="C30" s="3" t="s">
        <v>8</v>
      </c>
      <c r="D30" s="3" t="s">
        <v>9</v>
      </c>
      <c r="E30" s="3" t="s">
        <v>13</v>
      </c>
      <c r="F30" s="3">
        <v>5</v>
      </c>
      <c r="G30" s="3">
        <v>14500</v>
      </c>
      <c r="H30" s="3">
        <v>72500</v>
      </c>
      <c r="I30" s="2"/>
    </row>
    <row r="31" spans="1:9" x14ac:dyDescent="0.8">
      <c r="A31" s="3">
        <v>1030</v>
      </c>
      <c r="B31" s="4">
        <v>45672</v>
      </c>
      <c r="C31" s="3" t="s">
        <v>11</v>
      </c>
      <c r="D31" s="3" t="s">
        <v>12</v>
      </c>
      <c r="E31" s="3" t="s">
        <v>16</v>
      </c>
      <c r="F31" s="3">
        <v>2</v>
      </c>
      <c r="G31" s="3">
        <v>21000</v>
      </c>
      <c r="H31" s="3">
        <v>42000</v>
      </c>
      <c r="I31" s="2"/>
    </row>
    <row r="36" spans="8:8" x14ac:dyDescent="0.8">
      <c r="H3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2977-D85E-427E-9947-08748A2E833B}">
  <dimension ref="A1:D12"/>
  <sheetViews>
    <sheetView tabSelected="1" workbookViewId="0">
      <selection activeCell="A2" sqref="A2:D12"/>
    </sheetView>
  </sheetViews>
  <sheetFormatPr defaultRowHeight="24" x14ac:dyDescent="0.8"/>
  <cols>
    <col min="1" max="1" width="17.59765625" customWidth="1"/>
  </cols>
  <sheetData>
    <row r="1" spans="1:4" x14ac:dyDescent="0.8">
      <c r="A1" s="15" t="s">
        <v>19</v>
      </c>
      <c r="B1" s="15"/>
      <c r="C1" s="15"/>
      <c r="D1" s="15"/>
    </row>
    <row r="2" spans="1:4" x14ac:dyDescent="0.8">
      <c r="A2" s="14"/>
      <c r="B2" s="14"/>
      <c r="C2" s="14"/>
      <c r="D2" s="14"/>
    </row>
    <row r="3" spans="1:4" x14ac:dyDescent="0.8">
      <c r="A3" s="13" t="s">
        <v>23</v>
      </c>
      <c r="B3" s="13"/>
      <c r="C3" s="13"/>
      <c r="D3" s="13"/>
    </row>
    <row r="4" spans="1:4" x14ac:dyDescent="0.8">
      <c r="A4" s="13"/>
      <c r="B4" s="13"/>
      <c r="C4" s="13"/>
      <c r="D4" s="13"/>
    </row>
    <row r="5" spans="1:4" x14ac:dyDescent="0.8">
      <c r="A5" s="13" t="s">
        <v>24</v>
      </c>
      <c r="B5" s="13"/>
      <c r="C5" s="13"/>
      <c r="D5" s="13"/>
    </row>
    <row r="6" spans="1:4" x14ac:dyDescent="0.8">
      <c r="A6" s="13"/>
      <c r="B6" s="13"/>
      <c r="C6" s="13"/>
      <c r="D6" s="13"/>
    </row>
    <row r="7" spans="1:4" x14ac:dyDescent="0.8">
      <c r="A7" s="13" t="s">
        <v>25</v>
      </c>
      <c r="B7" s="13"/>
      <c r="C7" s="13"/>
      <c r="D7" s="13"/>
    </row>
    <row r="8" spans="1:4" x14ac:dyDescent="0.8">
      <c r="A8" s="13"/>
      <c r="B8" s="13"/>
      <c r="C8" s="13"/>
      <c r="D8" s="13"/>
    </row>
    <row r="9" spans="1:4" x14ac:dyDescent="0.8">
      <c r="A9" s="13" t="s">
        <v>27</v>
      </c>
      <c r="B9" s="13"/>
      <c r="C9" s="13"/>
      <c r="D9" s="13"/>
    </row>
    <row r="10" spans="1:4" x14ac:dyDescent="0.8">
      <c r="A10" s="13"/>
      <c r="B10" s="13"/>
      <c r="C10" s="13"/>
      <c r="D10" s="13"/>
    </row>
    <row r="11" spans="1:4" x14ac:dyDescent="0.8">
      <c r="A11" s="13" t="s">
        <v>26</v>
      </c>
      <c r="B11" s="13"/>
      <c r="C11" s="13"/>
      <c r="D11" s="13"/>
    </row>
    <row r="12" spans="1:4" x14ac:dyDescent="0.8">
      <c r="A12" s="14"/>
      <c r="B12" s="14"/>
      <c r="C12" s="14"/>
      <c r="D12" s="14"/>
    </row>
  </sheetData>
  <mergeCells count="12">
    <mergeCell ref="A12:D12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B65C-E1E6-4864-8587-48803394D4E1}">
  <dimension ref="A1:C5"/>
  <sheetViews>
    <sheetView workbookViewId="0">
      <selection activeCell="B5" sqref="B5"/>
    </sheetView>
  </sheetViews>
  <sheetFormatPr defaultRowHeight="24" x14ac:dyDescent="0.8"/>
  <cols>
    <col min="1" max="1" width="24.19921875" customWidth="1"/>
    <col min="2" max="2" width="14.19921875" customWidth="1"/>
    <col min="3" max="3" width="20.3984375" customWidth="1"/>
  </cols>
  <sheetData>
    <row r="1" spans="1:3" x14ac:dyDescent="0.8">
      <c r="A1" s="11" t="s">
        <v>28</v>
      </c>
      <c r="B1" s="11" t="s">
        <v>31</v>
      </c>
      <c r="C1" s="11"/>
    </row>
    <row r="2" spans="1:3" x14ac:dyDescent="0.8">
      <c r="A2" s="3" t="s">
        <v>29</v>
      </c>
      <c r="B2" s="3">
        <f>SUM('raw data 2'!H2:H31)</f>
        <v>2074500</v>
      </c>
      <c r="C2" s="12"/>
    </row>
    <row r="3" spans="1:3" x14ac:dyDescent="0.8">
      <c r="A3" s="3" t="s">
        <v>30</v>
      </c>
      <c r="B3" s="3">
        <f>AVERAGE('raw data 2'!H2:H31)</f>
        <v>69150</v>
      </c>
      <c r="C3" s="12"/>
    </row>
    <row r="4" spans="1:3" x14ac:dyDescent="0.8">
      <c r="A4" s="3" t="s">
        <v>32</v>
      </c>
      <c r="B4" s="3">
        <f>MAX('raw data 2'!H2:H31)</f>
        <v>141000</v>
      </c>
      <c r="C4" s="12"/>
    </row>
    <row r="5" spans="1:3" x14ac:dyDescent="0.8">
      <c r="A5" s="3" t="s">
        <v>33</v>
      </c>
      <c r="B5" s="3">
        <f>MIN('raw data 2'!H2:H31)</f>
        <v>21500</v>
      </c>
      <c r="C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35DA-1527-4A31-955C-623581D16EB1}">
  <dimension ref="A1"/>
  <sheetViews>
    <sheetView zoomScale="38" workbookViewId="0">
      <selection activeCell="AC23" sqref="AC23"/>
    </sheetView>
  </sheetViews>
  <sheetFormatPr defaultRowHeight="24" x14ac:dyDescent="0.8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6D0C-1272-4DAE-A367-E2E76A0F04CA}">
  <dimension ref="A3:B7"/>
  <sheetViews>
    <sheetView topLeftCell="A3" zoomScale="82" workbookViewId="0">
      <selection activeCell="J12" sqref="J12"/>
    </sheetView>
  </sheetViews>
  <sheetFormatPr defaultRowHeight="24" x14ac:dyDescent="0.8"/>
  <cols>
    <col min="1" max="1" width="14.3984375" bestFit="1" customWidth="1"/>
    <col min="2" max="2" width="19.5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10</v>
      </c>
      <c r="B4">
        <v>892500</v>
      </c>
    </row>
    <row r="5" spans="1:2" x14ac:dyDescent="0.8">
      <c r="A5" s="6" t="s">
        <v>13</v>
      </c>
      <c r="B5">
        <v>690000</v>
      </c>
    </row>
    <row r="6" spans="1:2" x14ac:dyDescent="0.8">
      <c r="A6" s="6" t="s">
        <v>16</v>
      </c>
      <c r="B6">
        <v>492000</v>
      </c>
    </row>
    <row r="7" spans="1:2" x14ac:dyDescent="0.8">
      <c r="A7" s="6" t="s">
        <v>21</v>
      </c>
      <c r="B7">
        <v>2074500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D482-A7A1-41A8-B5DC-E5E5CE26193B}">
  <dimension ref="A3:B8"/>
  <sheetViews>
    <sheetView workbookViewId="0">
      <selection activeCell="A4" sqref="A4:B7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14</v>
      </c>
      <c r="B4">
        <v>496000</v>
      </c>
    </row>
    <row r="5" spans="1:2" x14ac:dyDescent="0.8">
      <c r="A5" s="6" t="s">
        <v>8</v>
      </c>
      <c r="B5">
        <v>532000</v>
      </c>
    </row>
    <row r="6" spans="1:2" x14ac:dyDescent="0.8">
      <c r="A6" s="6" t="s">
        <v>11</v>
      </c>
      <c r="B6">
        <v>473500</v>
      </c>
    </row>
    <row r="7" spans="1:2" x14ac:dyDescent="0.8">
      <c r="A7" s="6" t="s">
        <v>17</v>
      </c>
      <c r="B7">
        <v>573000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0B68-A96F-4EA9-AFA1-0FC05E44BEDD}">
  <dimension ref="A3:B8"/>
  <sheetViews>
    <sheetView workbookViewId="0">
      <selection activeCell="J13" sqref="J13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9</v>
      </c>
      <c r="B4">
        <v>532000</v>
      </c>
    </row>
    <row r="5" spans="1:2" x14ac:dyDescent="0.8">
      <c r="A5" s="6" t="s">
        <v>12</v>
      </c>
      <c r="B5">
        <v>473500</v>
      </c>
    </row>
    <row r="6" spans="1:2" x14ac:dyDescent="0.8">
      <c r="A6" s="6" t="s">
        <v>18</v>
      </c>
      <c r="B6">
        <v>573000</v>
      </c>
    </row>
    <row r="7" spans="1:2" x14ac:dyDescent="0.8">
      <c r="A7" s="6" t="s">
        <v>15</v>
      </c>
      <c r="B7">
        <v>496000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E77B-433D-4096-BD99-A4360ADD4AF0}">
  <dimension ref="A1"/>
  <sheetViews>
    <sheetView zoomScale="73" workbookViewId="0">
      <selection activeCell="R10" sqref="R10"/>
    </sheetView>
  </sheetViews>
  <sheetFormatPr defaultRowHeight="24" x14ac:dyDescent="0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 2</vt:lpstr>
      <vt:lpstr>EDA questions</vt:lpstr>
      <vt:lpstr>EDA statics</vt:lpstr>
      <vt:lpstr>EDA charts</vt:lpstr>
      <vt:lpstr>pivot product</vt:lpstr>
      <vt:lpstr>pivot region</vt:lpstr>
      <vt:lpstr>pivot sales person</vt:lpstr>
      <vt:lpstr>sales dhashborad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2025-12-31T07:09:00Z</dcterms:created>
  <dcterms:modified xsi:type="dcterms:W3CDTF">2026-01-06T18:12:07Z</dcterms:modified>
</cp:coreProperties>
</file>